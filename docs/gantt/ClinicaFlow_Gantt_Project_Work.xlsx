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13_ncr:1_{E837690B-731D-4F59-9852-A845DF5606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antt" sheetId="1" r:id="rId1"/>
    <sheet name="Dati attività" sheetId="2" r:id="rId2"/>
  </sheets>
  <definedNames>
    <definedName name="_xlnm.Print_Area" localSheetId="0">Gantt!$A$1:$R$33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R24" i="1"/>
  <c r="Q24" i="1"/>
  <c r="P24" i="1"/>
  <c r="O24" i="1"/>
  <c r="N24" i="1"/>
  <c r="M24" i="1"/>
  <c r="L24" i="1"/>
  <c r="K24" i="1"/>
  <c r="J24" i="1"/>
  <c r="I24" i="1"/>
  <c r="H24" i="1"/>
  <c r="R23" i="1"/>
  <c r="P23" i="1"/>
  <c r="O23" i="1"/>
  <c r="N23" i="1"/>
  <c r="M23" i="1"/>
  <c r="L23" i="1"/>
  <c r="K23" i="1"/>
  <c r="J23" i="1"/>
  <c r="I23" i="1"/>
  <c r="H23" i="1"/>
  <c r="R22" i="1"/>
  <c r="Q22" i="1"/>
  <c r="P22" i="1"/>
  <c r="O22" i="1"/>
  <c r="N22" i="1"/>
  <c r="M22" i="1"/>
  <c r="L22" i="1"/>
  <c r="K22" i="1"/>
  <c r="J22" i="1"/>
  <c r="I22" i="1"/>
  <c r="H22" i="1"/>
  <c r="R21" i="1"/>
  <c r="Q21" i="1"/>
  <c r="P21" i="1"/>
  <c r="O21" i="1"/>
  <c r="N21" i="1"/>
  <c r="M21" i="1"/>
  <c r="L21" i="1"/>
  <c r="K21" i="1"/>
  <c r="J21" i="1"/>
  <c r="I21" i="1"/>
  <c r="H21" i="1"/>
  <c r="R20" i="1"/>
  <c r="Q20" i="1"/>
  <c r="P20" i="1"/>
  <c r="O20" i="1"/>
  <c r="N20" i="1"/>
  <c r="M20" i="1"/>
  <c r="L20" i="1"/>
  <c r="K20" i="1"/>
  <c r="J20" i="1"/>
  <c r="I20" i="1"/>
  <c r="H20" i="1"/>
  <c r="R19" i="1"/>
  <c r="Q19" i="1"/>
  <c r="P19" i="1"/>
  <c r="O19" i="1"/>
  <c r="N19" i="1"/>
  <c r="M19" i="1"/>
  <c r="L19" i="1"/>
  <c r="K19" i="1"/>
  <c r="J19" i="1"/>
  <c r="I19" i="1"/>
  <c r="H19" i="1"/>
  <c r="R18" i="1"/>
  <c r="Q18" i="1"/>
  <c r="P18" i="1"/>
  <c r="O18" i="1"/>
  <c r="N18" i="1"/>
  <c r="M18" i="1"/>
  <c r="L18" i="1"/>
  <c r="K18" i="1"/>
  <c r="J18" i="1"/>
  <c r="I18" i="1"/>
  <c r="H18" i="1"/>
  <c r="R17" i="1"/>
  <c r="Q17" i="1"/>
  <c r="P17" i="1"/>
  <c r="O17" i="1"/>
  <c r="N17" i="1"/>
  <c r="M17" i="1"/>
  <c r="L17" i="1"/>
  <c r="K17" i="1"/>
  <c r="J17" i="1"/>
  <c r="I17" i="1"/>
  <c r="H17" i="1"/>
  <c r="R16" i="1"/>
  <c r="Q16" i="1"/>
  <c r="P16" i="1"/>
  <c r="O16" i="1"/>
  <c r="N16" i="1"/>
  <c r="M16" i="1"/>
  <c r="L16" i="1"/>
  <c r="K16" i="1"/>
  <c r="J16" i="1"/>
  <c r="I16" i="1"/>
  <c r="H16" i="1"/>
  <c r="R15" i="1"/>
  <c r="Q15" i="1"/>
  <c r="P15" i="1"/>
  <c r="O15" i="1"/>
  <c r="N15" i="1"/>
  <c r="M15" i="1"/>
  <c r="L15" i="1"/>
  <c r="K15" i="1"/>
  <c r="J15" i="1"/>
  <c r="I15" i="1"/>
  <c r="H15" i="1"/>
  <c r="R14" i="1"/>
  <c r="Q14" i="1"/>
  <c r="P14" i="1"/>
  <c r="O14" i="1"/>
  <c r="N14" i="1"/>
  <c r="M14" i="1"/>
  <c r="L14" i="1"/>
  <c r="K14" i="1"/>
  <c r="J14" i="1"/>
  <c r="I14" i="1"/>
  <c r="H14" i="1"/>
  <c r="R13" i="1"/>
  <c r="Q13" i="1"/>
  <c r="P13" i="1"/>
  <c r="O13" i="1"/>
  <c r="N13" i="1"/>
  <c r="M13" i="1"/>
  <c r="L13" i="1"/>
  <c r="K13" i="1"/>
  <c r="J13" i="1"/>
  <c r="I13" i="1"/>
  <c r="H13" i="1"/>
  <c r="R12" i="1"/>
  <c r="Q12" i="1"/>
  <c r="P12" i="1"/>
  <c r="O12" i="1"/>
  <c r="N12" i="1"/>
  <c r="M12" i="1"/>
  <c r="L12" i="1"/>
  <c r="K12" i="1"/>
  <c r="J12" i="1"/>
  <c r="I12" i="1"/>
  <c r="H12" i="1"/>
  <c r="R11" i="1"/>
  <c r="Q11" i="1"/>
  <c r="P11" i="1"/>
  <c r="O11" i="1"/>
  <c r="N11" i="1"/>
  <c r="M11" i="1"/>
  <c r="L11" i="1"/>
  <c r="K11" i="1"/>
  <c r="J11" i="1"/>
  <c r="I11" i="1"/>
  <c r="H11" i="1"/>
  <c r="R10" i="1"/>
  <c r="Q10" i="1"/>
  <c r="P10" i="1"/>
  <c r="O10" i="1"/>
  <c r="N10" i="1"/>
  <c r="M10" i="1"/>
  <c r="L10" i="1"/>
  <c r="K10" i="1"/>
  <c r="J10" i="1"/>
  <c r="I10" i="1"/>
  <c r="H10" i="1"/>
</calcChain>
</file>

<file path=xl/sharedStrings.xml><?xml version="1.0" encoding="utf-8"?>
<sst xmlns="http://schemas.openxmlformats.org/spreadsheetml/2006/main" count="143" uniqueCount="63">
  <si>
    <t>ClinicaFlow — Diagramma di Gantt del Project Work 16</t>
  </si>
  <si>
    <t>Pianificazione sintetica delle attività: dalla modellazione iniziale alla consegna finale dell’elaborato.</t>
  </si>
  <si>
    <t>Periodo
20/02/2026 – 04/05/2026</t>
  </si>
  <si>
    <t>Fasi
16 attività</t>
  </si>
  <si>
    <t>Output
Backend, frontend, testbook, elaborato</t>
  </si>
  <si>
    <t>ID</t>
  </si>
  <si>
    <t>Area</t>
  </si>
  <si>
    <t>Attività</t>
  </si>
  <si>
    <t>Inizio</t>
  </si>
  <si>
    <t>Fine</t>
  </si>
  <si>
    <t>Stato</t>
  </si>
  <si>
    <t>Avanz.</t>
  </si>
  <si>
    <t>20-26 feb</t>
  </si>
  <si>
    <t>6-12 mar</t>
  </si>
  <si>
    <t>13-19 mar</t>
  </si>
  <si>
    <t>20-26 mar</t>
  </si>
  <si>
    <t>3-9 apr</t>
  </si>
  <si>
    <t>10-16 apr</t>
  </si>
  <si>
    <t>17-23 apr</t>
  </si>
  <si>
    <t>24-30 apr</t>
  </si>
  <si>
    <t>1-4 mag</t>
  </si>
  <si>
    <t>20/02–26/02</t>
  </si>
  <si>
    <t>27/02–05/03</t>
  </si>
  <si>
    <t>06/03–12/03</t>
  </si>
  <si>
    <t>13/03–19/03</t>
  </si>
  <si>
    <t>20/03–26/03</t>
  </si>
  <si>
    <t>27/03–02/04</t>
  </si>
  <si>
    <t>03/04–09/04</t>
  </si>
  <si>
    <t>10/04–16/04</t>
  </si>
  <si>
    <t>17/04–23/04</t>
  </si>
  <si>
    <t>24/04–30/04</t>
  </si>
  <si>
    <t>01/05–04/05</t>
  </si>
  <si>
    <t>Analisi</t>
  </si>
  <si>
    <t>Analisi requisiti e dominio applicativo</t>
  </si>
  <si>
    <t>Completata</t>
  </si>
  <si>
    <t>Modellazione concettuale entità e relazioni</t>
  </si>
  <si>
    <t>Backend</t>
  </si>
  <si>
    <t>Persistenza EF Core Code First e SQL Server</t>
  </si>
  <si>
    <t>Implementazione backend REST API</t>
  </si>
  <si>
    <t>Documentazione</t>
  </si>
  <si>
    <t>Documentazione Swagger/OpenAPI</t>
  </si>
  <si>
    <t>Testing</t>
  </si>
  <si>
    <t>Test backend e verifica regole di business</t>
  </si>
  <si>
    <t>Milestone</t>
  </si>
  <si>
    <t>Prima stesura completa dell’elaborato</t>
  </si>
  <si>
    <t>Frontend</t>
  </si>
  <si>
    <t>Revisione</t>
  </si>
  <si>
    <t>Legenda aree progettuali</t>
  </si>
  <si>
    <t>Nota operativa: il Gantt è pensato per l’elaborato. Le date e gli stati sono modificabili; la barra temporale usa formattazione condizionale sulle date di inizio/fine.</t>
  </si>
  <si>
    <t>Durata giorni</t>
  </si>
  <si>
    <t>Avanzamento</t>
  </si>
  <si>
    <t>Note</t>
  </si>
  <si>
    <t>Introduzione e normalizzazione TaxCode per medico e paziente</t>
  </si>
  <si>
    <t>Realizzazione frontend web iniziale</t>
  </si>
  <si>
    <t>Consegna della prima versione per la prevalutazione</t>
  </si>
  <si>
    <t>Revisione sicurezza: JWT, ruoli, account e password hashate</t>
  </si>
  <si>
    <t>Revisione frontend: login, Bearer token e aree per ruolo</t>
  </si>
  <si>
    <t>Aggiornamento testbook e verifica flussi principali</t>
  </si>
  <si>
    <t>Revisione dell’elaborato sulla base dei feedback ricevuti</t>
  </si>
  <si>
    <t>Consegna dell’elaborato finale</t>
  </si>
  <si>
    <t>Avanzamento
100%</t>
  </si>
  <si>
    <t>27 feb-
5 mar</t>
  </si>
  <si>
    <t>27 mar-
2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</si>
</sst>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8"/>
      <color rgb="FF1F2937"/>
      <name val="Carlito"/>
    </font>
    <font>
      <sz val="10"/>
      <color rgb="FF475569"/>
      <name val="Carlito"/>
    </font>
    <font>
      <b/>
      <sz val="11"/>
      <color rgb="FF334155"/>
      <name val="Carlito"/>
    </font>
    <font>
      <sz val="1"/>
      <color rgb="FFFFFFFF"/>
      <name val="Carlito"/>
    </font>
    <font>
      <b/>
      <sz val="10"/>
      <color rgb="FF1F2937"/>
      <name val="Carlito"/>
    </font>
    <font>
      <i/>
      <sz val="8"/>
      <color rgb="FF64748B"/>
      <name val="Carlito"/>
    </font>
    <font>
      <sz val="10"/>
      <color rgb="FF1F2937"/>
      <name val="Carlito"/>
    </font>
    <font>
      <sz val="11"/>
      <color rgb="FF1F2937"/>
      <name val="Carlito"/>
    </font>
    <font>
      <b/>
      <sz val="12"/>
      <color rgb="FF334155"/>
      <name val="Carlito"/>
    </font>
    <font>
      <sz val="10"/>
      <color rgb="FF334155"/>
      <name val="Carlito"/>
    </font>
    <font>
      <i/>
      <sz val="9"/>
      <color rgb="FF64748B"/>
      <name val="Carlito"/>
    </font>
    <font>
      <b/>
      <sz val="11"/>
      <color rgb="FF1F2937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1F5F9"/>
      </patternFill>
    </fill>
    <fill>
      <patternFill patternType="solid">
        <fgColor rgb="FFBFDBFE"/>
      </patternFill>
    </fill>
    <fill>
      <patternFill patternType="solid">
        <fgColor rgb="FFBBF7D0"/>
      </patternFill>
    </fill>
    <fill>
      <patternFill patternType="solid">
        <fgColor rgb="FFCFFAFE"/>
      </patternFill>
    </fill>
    <fill>
      <patternFill patternType="solid">
        <fgColor rgb="FFFDE68A"/>
      </patternFill>
    </fill>
    <fill>
      <patternFill patternType="solid">
        <fgColor rgb="FFDDD6FE"/>
      </patternFill>
    </fill>
    <fill>
      <patternFill patternType="solid">
        <fgColor rgb="FFFDA4AF"/>
      </patternFill>
    </fill>
    <fill>
      <patternFill patternType="solid">
        <fgColor rgb="FFFED7AA"/>
      </patternFill>
    </fill>
  </fills>
  <borders count="10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4" fillId="4" borderId="0" xfId="0" applyNumberFormat="1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9" fontId="7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7" borderId="7" xfId="0" applyFill="1" applyBorder="1"/>
    <xf numFmtId="0" fontId="10" fillId="0" borderId="0" xfId="0" applyFont="1" applyAlignment="1">
      <alignment vertical="center"/>
    </xf>
    <xf numFmtId="0" fontId="0" fillId="8" borderId="7" xfId="0" applyFill="1" applyBorder="1"/>
    <xf numFmtId="0" fontId="0" fillId="9" borderId="7" xfId="0" applyFill="1" applyBorder="1"/>
    <xf numFmtId="0" fontId="0" fillId="10" borderId="7" xfId="0" applyFill="1" applyBorder="1"/>
    <xf numFmtId="0" fontId="0" fillId="11" borderId="7" xfId="0" applyFill="1" applyBorder="1"/>
    <xf numFmtId="0" fontId="0" fillId="12" borderId="7" xfId="0" applyFill="1" applyBorder="1"/>
    <xf numFmtId="0" fontId="0" fillId="13" borderId="7" xfId="0" applyFill="1" applyBorder="1"/>
    <xf numFmtId="0" fontId="12" fillId="5" borderId="7" xfId="0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0" fillId="0" borderId="0" xfId="0"/>
    <xf numFmtId="0" fontId="11" fillId="3" borderId="8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 patternType="solid">
          <bgColor rgb="FFFCA5A5"/>
        </patternFill>
      </fill>
    </dxf>
    <dxf>
      <fill>
        <patternFill patternType="solid">
          <bgColor rgb="FFFED7AA"/>
        </patternFill>
      </fill>
    </dxf>
    <dxf>
      <fill>
        <patternFill patternType="solid">
          <bgColor rgb="FFFDA4AF"/>
        </patternFill>
      </fill>
    </dxf>
    <dxf>
      <fill>
        <patternFill patternType="solid">
          <bgColor rgb="FFDDD6FE"/>
        </patternFill>
      </fill>
    </dxf>
    <dxf>
      <fill>
        <patternFill patternType="solid">
          <bgColor rgb="FFFDE68A"/>
        </patternFill>
      </fill>
    </dxf>
    <dxf>
      <fill>
        <patternFill patternType="solid">
          <bgColor rgb="FFCFFAFE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BFDBFE"/>
        </patternFill>
      </fill>
    </dxf>
    <dxf>
      <font>
        <b/>
        <color rgb="FF3730A3"/>
      </font>
      <fill>
        <patternFill patternType="solid">
          <bgColor rgb="FFE0E7FF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3"/>
  <sheetViews>
    <sheetView tabSelected="1" zoomScale="70" zoomScaleNormal="70" workbookViewId="0">
      <selection activeCell="B24" sqref="B24"/>
    </sheetView>
  </sheetViews>
  <sheetFormatPr defaultRowHeight="14.25"/>
  <cols>
    <col min="1" max="1" width="3.5" customWidth="1"/>
    <col min="2" max="2" width="13.875" bestFit="1" customWidth="1"/>
    <col min="3" max="3" width="24.875" customWidth="1"/>
    <col min="4" max="5" width="9.375" bestFit="1" customWidth="1"/>
    <col min="6" max="6" width="10" bestFit="1" customWidth="1"/>
    <col min="7" max="7" width="7.625" bestFit="1" customWidth="1"/>
    <col min="8" max="8" width="10" bestFit="1" customWidth="1"/>
    <col min="9" max="9" width="8.875" bestFit="1" customWidth="1"/>
    <col min="10" max="10" width="13.875" bestFit="1" customWidth="1"/>
    <col min="11" max="11" width="9.75" bestFit="1" customWidth="1"/>
    <col min="12" max="12" width="10.5" bestFit="1" customWidth="1"/>
    <col min="13" max="14" width="8.875" bestFit="1" customWidth="1"/>
    <col min="15" max="15" width="9.25" bestFit="1" customWidth="1"/>
    <col min="16" max="16" width="9.625" bestFit="1" customWidth="1"/>
    <col min="17" max="17" width="10" bestFit="1" customWidth="1"/>
    <col min="18" max="18" width="8.875" bestFit="1" customWidth="1"/>
  </cols>
  <sheetData>
    <row r="1" spans="1:18" ht="23.25">
      <c r="A1" s="23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>
      <c r="A2" s="24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4" spans="1:18">
      <c r="A4" s="25" t="s">
        <v>2</v>
      </c>
      <c r="B4" s="26"/>
      <c r="C4" s="26"/>
      <c r="D4" s="27"/>
      <c r="E4" s="25" t="s">
        <v>3</v>
      </c>
      <c r="F4" s="26"/>
      <c r="G4" s="26"/>
      <c r="H4" s="27"/>
      <c r="I4" s="25" t="s">
        <v>60</v>
      </c>
      <c r="J4" s="26"/>
      <c r="K4" s="26"/>
      <c r="L4" s="27"/>
      <c r="M4" s="25" t="s">
        <v>4</v>
      </c>
      <c r="N4" s="26"/>
      <c r="O4" s="26"/>
      <c r="P4" s="26"/>
      <c r="Q4" s="26"/>
      <c r="R4" s="27"/>
    </row>
    <row r="5" spans="1:18">
      <c r="A5" s="28"/>
      <c r="B5" s="29"/>
      <c r="C5" s="29"/>
      <c r="D5" s="30"/>
      <c r="E5" s="28"/>
      <c r="F5" s="29"/>
      <c r="G5" s="29"/>
      <c r="H5" s="30"/>
      <c r="I5" s="28"/>
      <c r="J5" s="29"/>
      <c r="K5" s="29"/>
      <c r="L5" s="30"/>
      <c r="M5" s="28"/>
      <c r="N5" s="29"/>
      <c r="O5" s="29"/>
      <c r="P5" s="29"/>
      <c r="Q5" s="29"/>
      <c r="R5" s="30"/>
    </row>
    <row r="6" spans="1:18">
      <c r="H6" s="1">
        <v>46079</v>
      </c>
      <c r="I6" s="1">
        <v>46086</v>
      </c>
      <c r="J6" s="1">
        <v>46093</v>
      </c>
      <c r="K6" s="1">
        <v>46100</v>
      </c>
      <c r="L6" s="1">
        <v>46107</v>
      </c>
      <c r="M6" s="1">
        <v>46114</v>
      </c>
      <c r="N6" s="1">
        <v>46121</v>
      </c>
      <c r="O6" s="1">
        <v>46128</v>
      </c>
      <c r="P6" s="1">
        <v>46135</v>
      </c>
      <c r="Q6" s="1">
        <v>46142</v>
      </c>
      <c r="R6" s="1">
        <v>46146</v>
      </c>
    </row>
    <row r="7" spans="1:18">
      <c r="H7" s="1">
        <v>46073</v>
      </c>
      <c r="I7" s="1">
        <v>46080</v>
      </c>
      <c r="J7" s="1">
        <v>46087</v>
      </c>
      <c r="K7" s="1">
        <v>46094</v>
      </c>
      <c r="L7" s="1">
        <v>46101</v>
      </c>
      <c r="M7" s="1">
        <v>46108</v>
      </c>
      <c r="N7" s="1">
        <v>46115</v>
      </c>
      <c r="O7" s="1">
        <v>46122</v>
      </c>
      <c r="P7" s="1">
        <v>46129</v>
      </c>
      <c r="Q7" s="1">
        <v>46136</v>
      </c>
      <c r="R7" s="1">
        <v>46143</v>
      </c>
    </row>
    <row r="8" spans="1:18" ht="25.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61</v>
      </c>
      <c r="J8" s="2" t="s">
        <v>13</v>
      </c>
      <c r="K8" s="2" t="s">
        <v>14</v>
      </c>
      <c r="L8" s="2" t="s">
        <v>15</v>
      </c>
      <c r="M8" s="2" t="s">
        <v>62</v>
      </c>
      <c r="N8" s="2" t="s">
        <v>16</v>
      </c>
      <c r="O8" s="2" t="s">
        <v>17</v>
      </c>
      <c r="P8" s="2" t="s">
        <v>18</v>
      </c>
      <c r="Q8" s="2" t="s">
        <v>19</v>
      </c>
      <c r="R8" s="2" t="s">
        <v>20</v>
      </c>
    </row>
    <row r="9" spans="1:18">
      <c r="A9" s="3"/>
      <c r="B9" s="3"/>
      <c r="C9" s="3"/>
      <c r="D9" s="3"/>
      <c r="E9" s="3"/>
      <c r="F9" s="3"/>
      <c r="G9" s="3"/>
      <c r="H9" s="3" t="s">
        <v>21</v>
      </c>
      <c r="I9" s="3" t="s">
        <v>22</v>
      </c>
      <c r="J9" s="3" t="s">
        <v>23</v>
      </c>
      <c r="K9" s="3" t="s">
        <v>24</v>
      </c>
      <c r="L9" s="3" t="s">
        <v>25</v>
      </c>
      <c r="M9" s="3" t="s">
        <v>26</v>
      </c>
      <c r="N9" s="3" t="s">
        <v>27</v>
      </c>
      <c r="O9" s="3" t="s">
        <v>28</v>
      </c>
      <c r="P9" s="3" t="s">
        <v>29</v>
      </c>
      <c r="Q9" s="3" t="s">
        <v>30</v>
      </c>
      <c r="R9" s="3" t="s">
        <v>31</v>
      </c>
    </row>
    <row r="10" spans="1:18" ht="25.5">
      <c r="A10" s="6">
        <v>1</v>
      </c>
      <c r="B10" s="6" t="s">
        <v>32</v>
      </c>
      <c r="C10" s="5" t="s">
        <v>33</v>
      </c>
      <c r="D10" s="7">
        <v>46073</v>
      </c>
      <c r="E10" s="7">
        <v>46081</v>
      </c>
      <c r="F10" s="6" t="s">
        <v>34</v>
      </c>
      <c r="G10" s="8">
        <v>1</v>
      </c>
      <c r="H10" s="9" t="str">
        <f t="shared" ref="H10:R19" si="0">IF(AND(H$7&lt;=$D10,H$6&gt;=$D10,$D10=$E10),"◆","")</f>
        <v/>
      </c>
      <c r="I10" s="9" t="str">
        <f t="shared" si="0"/>
        <v/>
      </c>
      <c r="J10" s="9" t="str">
        <f t="shared" si="0"/>
        <v/>
      </c>
      <c r="K10" s="9" t="str">
        <f t="shared" si="0"/>
        <v/>
      </c>
      <c r="L10" s="9" t="str">
        <f t="shared" si="0"/>
        <v/>
      </c>
      <c r="M10" s="9" t="str">
        <f t="shared" si="0"/>
        <v/>
      </c>
      <c r="N10" s="9" t="str">
        <f t="shared" si="0"/>
        <v/>
      </c>
      <c r="O10" s="9" t="str">
        <f t="shared" si="0"/>
        <v/>
      </c>
      <c r="P10" s="9" t="str">
        <f t="shared" si="0"/>
        <v/>
      </c>
      <c r="Q10" s="9" t="str">
        <f t="shared" si="0"/>
        <v/>
      </c>
      <c r="R10" s="9" t="str">
        <f t="shared" si="0"/>
        <v/>
      </c>
    </row>
    <row r="11" spans="1:18" ht="25.5">
      <c r="A11" s="6">
        <v>2</v>
      </c>
      <c r="B11" s="6" t="s">
        <v>32</v>
      </c>
      <c r="C11" s="5" t="s">
        <v>35</v>
      </c>
      <c r="D11" s="7">
        <v>46073</v>
      </c>
      <c r="E11" s="7">
        <v>46081</v>
      </c>
      <c r="F11" s="6" t="s">
        <v>34</v>
      </c>
      <c r="G11" s="8">
        <v>1</v>
      </c>
      <c r="H11" s="9" t="str">
        <f t="shared" si="0"/>
        <v/>
      </c>
      <c r="I11" s="9" t="str">
        <f t="shared" si="0"/>
        <v/>
      </c>
      <c r="J11" s="9" t="str">
        <f t="shared" si="0"/>
        <v/>
      </c>
      <c r="K11" s="9" t="str">
        <f t="shared" si="0"/>
        <v/>
      </c>
      <c r="L11" s="9" t="str">
        <f t="shared" si="0"/>
        <v/>
      </c>
      <c r="M11" s="9" t="str">
        <f t="shared" si="0"/>
        <v/>
      </c>
      <c r="N11" s="9" t="str">
        <f t="shared" si="0"/>
        <v/>
      </c>
      <c r="O11" s="9" t="str">
        <f t="shared" si="0"/>
        <v/>
      </c>
      <c r="P11" s="9" t="str">
        <f t="shared" si="0"/>
        <v/>
      </c>
      <c r="Q11" s="9" t="str">
        <f t="shared" si="0"/>
        <v/>
      </c>
      <c r="R11" s="9" t="str">
        <f t="shared" si="0"/>
        <v/>
      </c>
    </row>
    <row r="12" spans="1:18" ht="25.5">
      <c r="A12" s="6">
        <v>3</v>
      </c>
      <c r="B12" s="6" t="s">
        <v>36</v>
      </c>
      <c r="C12" s="5" t="s">
        <v>37</v>
      </c>
      <c r="D12" s="7">
        <v>46082</v>
      </c>
      <c r="E12" s="7">
        <v>46088</v>
      </c>
      <c r="F12" s="6" t="s">
        <v>34</v>
      </c>
      <c r="G12" s="8">
        <v>1</v>
      </c>
      <c r="H12" s="9" t="str">
        <f t="shared" si="0"/>
        <v/>
      </c>
      <c r="I12" s="9" t="str">
        <f t="shared" si="0"/>
        <v/>
      </c>
      <c r="J12" s="9" t="str">
        <f t="shared" si="0"/>
        <v/>
      </c>
      <c r="K12" s="9" t="str">
        <f t="shared" si="0"/>
        <v/>
      </c>
      <c r="L12" s="9" t="str">
        <f t="shared" si="0"/>
        <v/>
      </c>
      <c r="M12" s="9" t="str">
        <f t="shared" si="0"/>
        <v/>
      </c>
      <c r="N12" s="9" t="str">
        <f t="shared" si="0"/>
        <v/>
      </c>
      <c r="O12" s="9" t="str">
        <f t="shared" si="0"/>
        <v/>
      </c>
      <c r="P12" s="9" t="str">
        <f t="shared" si="0"/>
        <v/>
      </c>
      <c r="Q12" s="9" t="str">
        <f t="shared" si="0"/>
        <v/>
      </c>
      <c r="R12" s="9" t="str">
        <f t="shared" si="0"/>
        <v/>
      </c>
    </row>
    <row r="13" spans="1:18" ht="25.5">
      <c r="A13" s="6">
        <v>4</v>
      </c>
      <c r="B13" s="6" t="s">
        <v>36</v>
      </c>
      <c r="C13" s="5" t="s">
        <v>38</v>
      </c>
      <c r="D13" s="7">
        <v>46088</v>
      </c>
      <c r="E13" s="7">
        <v>46100</v>
      </c>
      <c r="F13" s="6" t="s">
        <v>34</v>
      </c>
      <c r="G13" s="8">
        <v>1</v>
      </c>
      <c r="H13" s="9" t="str">
        <f t="shared" si="0"/>
        <v/>
      </c>
      <c r="I13" s="9" t="str">
        <f t="shared" si="0"/>
        <v/>
      </c>
      <c r="J13" s="9" t="str">
        <f t="shared" si="0"/>
        <v/>
      </c>
      <c r="K13" s="9" t="str">
        <f t="shared" si="0"/>
        <v/>
      </c>
      <c r="L13" s="9" t="str">
        <f t="shared" si="0"/>
        <v/>
      </c>
      <c r="M13" s="9" t="str">
        <f t="shared" si="0"/>
        <v/>
      </c>
      <c r="N13" s="9" t="str">
        <f t="shared" si="0"/>
        <v/>
      </c>
      <c r="O13" s="9" t="str">
        <f t="shared" si="0"/>
        <v/>
      </c>
      <c r="P13" s="9" t="str">
        <f t="shared" si="0"/>
        <v/>
      </c>
      <c r="Q13" s="9" t="str">
        <f t="shared" si="0"/>
        <v/>
      </c>
      <c r="R13" s="9" t="str">
        <f t="shared" si="0"/>
        <v/>
      </c>
    </row>
    <row r="14" spans="1:18" ht="25.5">
      <c r="A14" s="6">
        <v>5</v>
      </c>
      <c r="B14" s="6" t="s">
        <v>39</v>
      </c>
      <c r="C14" s="5" t="s">
        <v>40</v>
      </c>
      <c r="D14" s="7">
        <v>46093</v>
      </c>
      <c r="E14" s="7">
        <v>46102</v>
      </c>
      <c r="F14" s="6" t="s">
        <v>34</v>
      </c>
      <c r="G14" s="8">
        <v>1</v>
      </c>
      <c r="H14" s="9" t="str">
        <f t="shared" si="0"/>
        <v/>
      </c>
      <c r="I14" s="9" t="str">
        <f t="shared" si="0"/>
        <v/>
      </c>
      <c r="J14" s="9" t="str">
        <f t="shared" si="0"/>
        <v/>
      </c>
      <c r="K14" s="9" t="str">
        <f t="shared" si="0"/>
        <v/>
      </c>
      <c r="L14" s="9" t="str">
        <f t="shared" si="0"/>
        <v/>
      </c>
      <c r="M14" s="9" t="str">
        <f t="shared" si="0"/>
        <v/>
      </c>
      <c r="N14" s="9" t="str">
        <f t="shared" si="0"/>
        <v/>
      </c>
      <c r="O14" s="9" t="str">
        <f t="shared" si="0"/>
        <v/>
      </c>
      <c r="P14" s="9" t="str">
        <f t="shared" si="0"/>
        <v/>
      </c>
      <c r="Q14" s="9" t="str">
        <f t="shared" si="0"/>
        <v/>
      </c>
      <c r="R14" s="9" t="str">
        <f t="shared" si="0"/>
        <v/>
      </c>
    </row>
    <row r="15" spans="1:18" ht="25.5">
      <c r="A15" s="6">
        <v>6</v>
      </c>
      <c r="B15" s="6" t="s">
        <v>41</v>
      </c>
      <c r="C15" s="5" t="s">
        <v>42</v>
      </c>
      <c r="D15" s="7">
        <v>46103</v>
      </c>
      <c r="E15" s="7">
        <v>46107</v>
      </c>
      <c r="F15" s="6" t="s">
        <v>34</v>
      </c>
      <c r="G15" s="8">
        <v>1</v>
      </c>
      <c r="H15" s="9" t="str">
        <f t="shared" si="0"/>
        <v/>
      </c>
      <c r="I15" s="9" t="str">
        <f t="shared" si="0"/>
        <v/>
      </c>
      <c r="J15" s="9" t="str">
        <f t="shared" si="0"/>
        <v/>
      </c>
      <c r="K15" s="9" t="str">
        <f t="shared" si="0"/>
        <v/>
      </c>
      <c r="L15" s="9" t="str">
        <f t="shared" si="0"/>
        <v/>
      </c>
      <c r="M15" s="9" t="str">
        <f t="shared" si="0"/>
        <v/>
      </c>
      <c r="N15" s="9" t="str">
        <f t="shared" si="0"/>
        <v/>
      </c>
      <c r="O15" s="9" t="str">
        <f t="shared" si="0"/>
        <v/>
      </c>
      <c r="P15" s="9" t="str">
        <f t="shared" si="0"/>
        <v/>
      </c>
      <c r="Q15" s="9" t="str">
        <f t="shared" si="0"/>
        <v/>
      </c>
      <c r="R15" s="9" t="str">
        <f t="shared" si="0"/>
        <v/>
      </c>
    </row>
    <row r="16" spans="1:18" ht="25.5">
      <c r="A16" s="6">
        <v>7</v>
      </c>
      <c r="B16" s="6" t="s">
        <v>43</v>
      </c>
      <c r="C16" s="5" t="s">
        <v>52</v>
      </c>
      <c r="D16" s="7">
        <v>46107</v>
      </c>
      <c r="E16" s="7">
        <v>46107</v>
      </c>
      <c r="F16" s="6" t="s">
        <v>34</v>
      </c>
      <c r="G16" s="8">
        <v>1</v>
      </c>
      <c r="H16" s="9" t="str">
        <f t="shared" si="0"/>
        <v/>
      </c>
      <c r="I16" s="9" t="str">
        <f t="shared" si="0"/>
        <v/>
      </c>
      <c r="J16" s="9" t="str">
        <f t="shared" si="0"/>
        <v/>
      </c>
      <c r="K16" s="9" t="str">
        <f t="shared" si="0"/>
        <v/>
      </c>
      <c r="L16" s="9" t="str">
        <f t="shared" si="0"/>
        <v>◆</v>
      </c>
      <c r="M16" s="9" t="str">
        <f t="shared" si="0"/>
        <v/>
      </c>
      <c r="N16" s="9" t="str">
        <f t="shared" si="0"/>
        <v/>
      </c>
      <c r="O16" s="9" t="str">
        <f t="shared" si="0"/>
        <v/>
      </c>
      <c r="P16" s="9" t="str">
        <f t="shared" si="0"/>
        <v/>
      </c>
      <c r="Q16" s="9" t="str">
        <f t="shared" si="0"/>
        <v/>
      </c>
      <c r="R16" s="9" t="str">
        <f t="shared" si="0"/>
        <v/>
      </c>
    </row>
    <row r="17" spans="1:18" ht="25.5">
      <c r="A17" s="6">
        <v>8</v>
      </c>
      <c r="B17" s="6" t="s">
        <v>39</v>
      </c>
      <c r="C17" s="5" t="s">
        <v>44</v>
      </c>
      <c r="D17" s="7">
        <v>46108</v>
      </c>
      <c r="E17" s="7">
        <v>46116</v>
      </c>
      <c r="F17" s="6" t="s">
        <v>34</v>
      </c>
      <c r="G17" s="8">
        <v>1</v>
      </c>
      <c r="H17" s="9" t="str">
        <f t="shared" si="0"/>
        <v/>
      </c>
      <c r="I17" s="9" t="str">
        <f t="shared" si="0"/>
        <v/>
      </c>
      <c r="J17" s="9" t="str">
        <f t="shared" si="0"/>
        <v/>
      </c>
      <c r="K17" s="9" t="str">
        <f t="shared" si="0"/>
        <v/>
      </c>
      <c r="L17" s="9" t="str">
        <f t="shared" si="0"/>
        <v/>
      </c>
      <c r="M17" s="9" t="str">
        <f t="shared" si="0"/>
        <v/>
      </c>
      <c r="N17" s="9" t="str">
        <f t="shared" si="0"/>
        <v/>
      </c>
      <c r="O17" s="9" t="str">
        <f t="shared" si="0"/>
        <v/>
      </c>
      <c r="P17" s="9" t="str">
        <f t="shared" si="0"/>
        <v/>
      </c>
      <c r="Q17" s="9" t="str">
        <f t="shared" si="0"/>
        <v/>
      </c>
      <c r="R17" s="9" t="str">
        <f t="shared" si="0"/>
        <v/>
      </c>
    </row>
    <row r="18" spans="1:18" ht="25.5">
      <c r="A18" s="6">
        <v>9</v>
      </c>
      <c r="B18" s="6" t="s">
        <v>45</v>
      </c>
      <c r="C18" s="5" t="s">
        <v>53</v>
      </c>
      <c r="D18" s="7">
        <v>46111</v>
      </c>
      <c r="E18" s="7">
        <v>46115</v>
      </c>
      <c r="F18" s="6" t="s">
        <v>34</v>
      </c>
      <c r="G18" s="8">
        <v>1</v>
      </c>
      <c r="H18" s="9" t="str">
        <f t="shared" si="0"/>
        <v/>
      </c>
      <c r="I18" s="9" t="str">
        <f t="shared" si="0"/>
        <v/>
      </c>
      <c r="J18" s="9" t="str">
        <f t="shared" si="0"/>
        <v/>
      </c>
      <c r="K18" s="9" t="str">
        <f t="shared" si="0"/>
        <v/>
      </c>
      <c r="L18" s="9" t="str">
        <f t="shared" si="0"/>
        <v/>
      </c>
      <c r="M18" s="9" t="str">
        <f t="shared" si="0"/>
        <v/>
      </c>
      <c r="N18" s="9" t="str">
        <f t="shared" si="0"/>
        <v/>
      </c>
      <c r="O18" s="9" t="str">
        <f t="shared" si="0"/>
        <v/>
      </c>
      <c r="P18" s="9" t="str">
        <f t="shared" si="0"/>
        <v/>
      </c>
      <c r="Q18" s="9" t="str">
        <f t="shared" si="0"/>
        <v/>
      </c>
      <c r="R18" s="9" t="str">
        <f t="shared" si="0"/>
        <v/>
      </c>
    </row>
    <row r="19" spans="1:18" ht="25.5">
      <c r="A19" s="6">
        <v>10</v>
      </c>
      <c r="B19" s="6" t="s">
        <v>43</v>
      </c>
      <c r="C19" s="5" t="s">
        <v>54</v>
      </c>
      <c r="D19" s="7">
        <v>46116</v>
      </c>
      <c r="E19" s="7">
        <v>46116</v>
      </c>
      <c r="F19" s="6" t="s">
        <v>34</v>
      </c>
      <c r="G19" s="8">
        <v>1</v>
      </c>
      <c r="H19" s="9" t="str">
        <f t="shared" si="0"/>
        <v/>
      </c>
      <c r="I19" s="9" t="str">
        <f t="shared" si="0"/>
        <v/>
      </c>
      <c r="J19" s="9" t="str">
        <f t="shared" si="0"/>
        <v/>
      </c>
      <c r="K19" s="9" t="str">
        <f t="shared" si="0"/>
        <v/>
      </c>
      <c r="L19" s="9" t="str">
        <f t="shared" si="0"/>
        <v/>
      </c>
      <c r="M19" s="9" t="str">
        <f t="shared" si="0"/>
        <v/>
      </c>
      <c r="N19" s="9" t="str">
        <f t="shared" si="0"/>
        <v>◆</v>
      </c>
      <c r="O19" s="9" t="str">
        <f t="shared" si="0"/>
        <v/>
      </c>
      <c r="P19" s="9" t="str">
        <f t="shared" si="0"/>
        <v/>
      </c>
      <c r="Q19" s="9" t="str">
        <f t="shared" si="0"/>
        <v/>
      </c>
      <c r="R19" s="9" t="str">
        <f t="shared" si="0"/>
        <v/>
      </c>
    </row>
    <row r="20" spans="1:18" ht="25.5">
      <c r="A20" s="6">
        <v>11</v>
      </c>
      <c r="B20" s="6" t="s">
        <v>46</v>
      </c>
      <c r="C20" s="5" t="s">
        <v>55</v>
      </c>
      <c r="D20" s="7">
        <v>46130</v>
      </c>
      <c r="E20" s="7">
        <v>46135</v>
      </c>
      <c r="F20" s="6" t="s">
        <v>34</v>
      </c>
      <c r="G20" s="8">
        <v>1</v>
      </c>
      <c r="H20" s="9" t="str">
        <f t="shared" ref="H20:R24" si="1">IF(AND(H$7&lt;=$D20,H$6&gt;=$D20,$D20=$E20),"◆","")</f>
        <v/>
      </c>
      <c r="I20" s="9" t="str">
        <f t="shared" si="1"/>
        <v/>
      </c>
      <c r="J20" s="9" t="str">
        <f t="shared" si="1"/>
        <v/>
      </c>
      <c r="K20" s="9" t="str">
        <f t="shared" si="1"/>
        <v/>
      </c>
      <c r="L20" s="9" t="str">
        <f t="shared" si="1"/>
        <v/>
      </c>
      <c r="M20" s="9" t="str">
        <f t="shared" si="1"/>
        <v/>
      </c>
      <c r="N20" s="9" t="str">
        <f t="shared" si="1"/>
        <v/>
      </c>
      <c r="O20" s="9" t="str">
        <f t="shared" si="1"/>
        <v/>
      </c>
      <c r="P20" s="9" t="str">
        <f t="shared" si="1"/>
        <v/>
      </c>
      <c r="Q20" s="9" t="str">
        <f t="shared" si="1"/>
        <v/>
      </c>
      <c r="R20" s="9" t="str">
        <f t="shared" si="1"/>
        <v/>
      </c>
    </row>
    <row r="21" spans="1:18" ht="25.5">
      <c r="A21" s="6">
        <v>12</v>
      </c>
      <c r="B21" s="6" t="s">
        <v>45</v>
      </c>
      <c r="C21" s="5" t="s">
        <v>56</v>
      </c>
      <c r="D21" s="7">
        <v>46130</v>
      </c>
      <c r="E21" s="7">
        <v>46140</v>
      </c>
      <c r="F21" s="6" t="s">
        <v>34</v>
      </c>
      <c r="G21" s="8">
        <v>1</v>
      </c>
      <c r="H21" s="9" t="str">
        <f t="shared" si="1"/>
        <v/>
      </c>
      <c r="I21" s="9" t="str">
        <f t="shared" si="1"/>
        <v/>
      </c>
      <c r="J21" s="9" t="str">
        <f t="shared" si="1"/>
        <v/>
      </c>
      <c r="K21" s="9" t="str">
        <f t="shared" si="1"/>
        <v/>
      </c>
      <c r="L21" s="9" t="str">
        <f t="shared" si="1"/>
        <v/>
      </c>
      <c r="M21" s="9" t="str">
        <f t="shared" si="1"/>
        <v/>
      </c>
      <c r="N21" s="9" t="str">
        <f t="shared" si="1"/>
        <v/>
      </c>
      <c r="O21" s="9" t="str">
        <f t="shared" si="1"/>
        <v/>
      </c>
      <c r="P21" s="9" t="str">
        <f t="shared" si="1"/>
        <v/>
      </c>
      <c r="Q21" s="9" t="str">
        <f t="shared" si="1"/>
        <v/>
      </c>
      <c r="R21" s="9" t="str">
        <f t="shared" si="1"/>
        <v/>
      </c>
    </row>
    <row r="22" spans="1:18" ht="25.5">
      <c r="A22" s="6">
        <v>13</v>
      </c>
      <c r="B22" s="6" t="s">
        <v>41</v>
      </c>
      <c r="C22" s="5" t="s">
        <v>57</v>
      </c>
      <c r="D22" s="7">
        <v>46136</v>
      </c>
      <c r="E22" s="7">
        <v>46140</v>
      </c>
      <c r="F22" s="6" t="s">
        <v>34</v>
      </c>
      <c r="G22" s="8">
        <v>1</v>
      </c>
      <c r="H22" s="9" t="str">
        <f t="shared" si="1"/>
        <v/>
      </c>
      <c r="I22" s="9" t="str">
        <f t="shared" si="1"/>
        <v/>
      </c>
      <c r="J22" s="9" t="str">
        <f t="shared" si="1"/>
        <v/>
      </c>
      <c r="K22" s="9" t="str">
        <f t="shared" si="1"/>
        <v/>
      </c>
      <c r="L22" s="9" t="str">
        <f t="shared" si="1"/>
        <v/>
      </c>
      <c r="M22" s="9" t="str">
        <f t="shared" si="1"/>
        <v/>
      </c>
      <c r="N22" s="9" t="str">
        <f t="shared" si="1"/>
        <v/>
      </c>
      <c r="O22" s="9" t="str">
        <f t="shared" si="1"/>
        <v/>
      </c>
      <c r="P22" s="9" t="str">
        <f t="shared" si="1"/>
        <v/>
      </c>
      <c r="Q22" s="9" t="str">
        <f t="shared" si="1"/>
        <v/>
      </c>
      <c r="R22" s="9" t="str">
        <f t="shared" si="1"/>
        <v/>
      </c>
    </row>
    <row r="23" spans="1:18" ht="25.5">
      <c r="A23" s="6">
        <v>14</v>
      </c>
      <c r="B23" s="6" t="s">
        <v>39</v>
      </c>
      <c r="C23" s="5" t="s">
        <v>58</v>
      </c>
      <c r="D23" s="7">
        <v>46140</v>
      </c>
      <c r="E23" s="7">
        <v>46145</v>
      </c>
      <c r="F23" s="6" t="s">
        <v>34</v>
      </c>
      <c r="G23" s="8">
        <v>1</v>
      </c>
      <c r="H23" s="9" t="str">
        <f t="shared" si="1"/>
        <v/>
      </c>
      <c r="I23" s="9" t="str">
        <f t="shared" si="1"/>
        <v/>
      </c>
      <c r="J23" s="9" t="str">
        <f t="shared" si="1"/>
        <v/>
      </c>
      <c r="K23" s="9" t="str">
        <f t="shared" si="1"/>
        <v/>
      </c>
      <c r="L23" s="9" t="str">
        <f t="shared" si="1"/>
        <v/>
      </c>
      <c r="M23" s="9" t="str">
        <f t="shared" si="1"/>
        <v/>
      </c>
      <c r="N23" s="9" t="str">
        <f t="shared" si="1"/>
        <v/>
      </c>
      <c r="O23" s="9" t="str">
        <f t="shared" si="1"/>
        <v/>
      </c>
      <c r="P23" s="9" t="str">
        <f t="shared" si="1"/>
        <v/>
      </c>
      <c r="Q23" s="9" t="str">
        <f>IF(AND(Q$7&lt;=$D23,Q$6&gt;=$D23,$D23=$E23),"◆","")</f>
        <v/>
      </c>
      <c r="R23" s="9" t="str">
        <f t="shared" si="1"/>
        <v/>
      </c>
    </row>
    <row r="24" spans="1:18" ht="22.5" customHeight="1">
      <c r="A24" s="6">
        <v>15</v>
      </c>
      <c r="B24" s="6" t="s">
        <v>43</v>
      </c>
      <c r="C24" s="5" t="s">
        <v>59</v>
      </c>
      <c r="D24" s="7">
        <v>46146</v>
      </c>
      <c r="E24" s="7">
        <v>46146</v>
      </c>
      <c r="F24" s="6" t="s">
        <v>34</v>
      </c>
      <c r="G24" s="8">
        <v>1</v>
      </c>
      <c r="H24" s="9" t="str">
        <f t="shared" si="1"/>
        <v/>
      </c>
      <c r="I24" s="9" t="str">
        <f t="shared" si="1"/>
        <v/>
      </c>
      <c r="J24" s="9" t="str">
        <f t="shared" si="1"/>
        <v/>
      </c>
      <c r="K24" s="9" t="str">
        <f t="shared" si="1"/>
        <v/>
      </c>
      <c r="L24" s="9" t="str">
        <f t="shared" si="1"/>
        <v/>
      </c>
      <c r="M24" s="9" t="str">
        <f t="shared" si="1"/>
        <v/>
      </c>
      <c r="N24" s="9" t="str">
        <f t="shared" si="1"/>
        <v/>
      </c>
      <c r="O24" s="9" t="str">
        <f t="shared" si="1"/>
        <v/>
      </c>
      <c r="P24" s="9" t="str">
        <f t="shared" si="1"/>
        <v/>
      </c>
      <c r="Q24" s="9" t="str">
        <f t="shared" si="1"/>
        <v/>
      </c>
      <c r="R24" s="9" t="str">
        <f t="shared" si="1"/>
        <v>◆</v>
      </c>
    </row>
    <row r="27" spans="1:18" ht="15.75">
      <c r="A27" s="20" t="s">
        <v>47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>
      <c r="A28" s="10"/>
      <c r="B28" s="11" t="s">
        <v>32</v>
      </c>
      <c r="E28" s="12"/>
      <c r="F28" s="11" t="s">
        <v>36</v>
      </c>
      <c r="I28" s="13"/>
      <c r="J28" s="11" t="s">
        <v>39</v>
      </c>
      <c r="M28" s="14"/>
      <c r="N28" s="11" t="s">
        <v>41</v>
      </c>
    </row>
    <row r="29" spans="1:18">
      <c r="A29" s="15"/>
      <c r="B29" s="11" t="s">
        <v>45</v>
      </c>
      <c r="E29" s="16"/>
      <c r="F29" s="11" t="s">
        <v>43</v>
      </c>
      <c r="I29" s="17"/>
      <c r="J29" s="11" t="s">
        <v>46</v>
      </c>
    </row>
    <row r="31" spans="1:18">
      <c r="A31" s="22" t="s">
        <v>48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1:18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</row>
    <row r="33" spans="1:18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</sheetData>
  <mergeCells count="8">
    <mergeCell ref="A27:R27"/>
    <mergeCell ref="A31:R33"/>
    <mergeCell ref="A1:R1"/>
    <mergeCell ref="A2:R2"/>
    <mergeCell ref="A4:D5"/>
    <mergeCell ref="E4:H5"/>
    <mergeCell ref="I4:L5"/>
    <mergeCell ref="M4:R5"/>
  </mergeCells>
  <conditionalFormatting sqref="F10:F24">
    <cfRule type="containsText" dxfId="10" priority="12" operator="containsText" text="Completata"/>
    <cfRule type="containsText" dxfId="9" priority="13" operator="containsText" text="In corso"/>
    <cfRule type="containsText" dxfId="8" priority="14" operator="containsText" text="Pianificata"/>
  </conditionalFormatting>
  <conditionalFormatting sqref="G10:G24">
    <cfRule type="iconSet" priority="2">
      <iconSet iconSet="5Quarters" showValue="0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:R24">
    <cfRule type="expression" dxfId="7" priority="4">
      <formula>AND(H$7&lt;=$E10,H$6&gt;=$D10,$B10="Analisi")</formula>
    </cfRule>
    <cfRule type="expression" dxfId="6" priority="5">
      <formula>AND(H$7&lt;=$E10,H$6&gt;=$D10,$B10="Backend")</formula>
    </cfRule>
    <cfRule type="expression" dxfId="5" priority="6">
      <formula>AND(H$7&lt;=$E10,H$6&gt;=$D10,$B10="Documentazione")</formula>
    </cfRule>
    <cfRule type="expression" dxfId="4" priority="7">
      <formula>AND(H$7&lt;=$E10,H$6&gt;=$D10,$B10="Testing")</formula>
    </cfRule>
    <cfRule type="expression" dxfId="3" priority="8">
      <formula>AND(H$7&lt;=$E10,H$6&gt;=$D10,$B10="Frontend")</formula>
    </cfRule>
    <cfRule type="expression" dxfId="2" priority="9">
      <formula>AND(H$7&lt;=$E10,H$6&gt;=$D10,$B10="Milestone")</formula>
    </cfRule>
    <cfRule type="expression" dxfId="1" priority="10">
      <formula>AND(H$7&lt;=$E10,H$6&gt;=$D10,$B10="Revisione")</formula>
    </cfRule>
    <cfRule type="expression" dxfId="0" priority="11">
      <formula>AND(H$7&lt;=$E10,H$6&gt;=$D10,$B10="Consegna")</formula>
    </cfRule>
  </conditionalFormatting>
  <dataValidations count="1">
    <dataValidation type="list" sqref="B10:B24" xr:uid="{E073CF74-36CD-44AE-ADB6-79A210EDDD17}">
      <formula1>"Analisi,Backend,Documentazione,Testing,Frontend,Milestone,Revisione,Consegna"</formula1>
    </dataValidation>
  </dataValidations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B2" sqref="B2:B16"/>
    </sheetView>
  </sheetViews>
  <sheetFormatPr defaultRowHeight="14.25"/>
  <cols>
    <col min="1" max="1" width="5" customWidth="1"/>
    <col min="2" max="2" width="16" customWidth="1"/>
    <col min="3" max="3" width="50" customWidth="1"/>
    <col min="4" max="5" width="12" customWidth="1"/>
    <col min="6" max="7" width="14" customWidth="1"/>
    <col min="8" max="8" width="12" customWidth="1"/>
    <col min="9" max="9" width="26" customWidth="1"/>
  </cols>
  <sheetData>
    <row r="1" spans="1:9" ht="15">
      <c r="A1" s="18" t="s">
        <v>5</v>
      </c>
      <c r="B1" s="18" t="s">
        <v>6</v>
      </c>
      <c r="C1" s="18" t="s">
        <v>7</v>
      </c>
      <c r="D1" s="18" t="s">
        <v>8</v>
      </c>
      <c r="E1" s="18" t="s">
        <v>9</v>
      </c>
      <c r="F1" s="18" t="s">
        <v>49</v>
      </c>
      <c r="G1" s="18" t="s">
        <v>10</v>
      </c>
      <c r="H1" s="18" t="s">
        <v>50</v>
      </c>
      <c r="I1" s="18" t="s">
        <v>51</v>
      </c>
    </row>
    <row r="2" spans="1:9">
      <c r="A2" s="6">
        <v>1</v>
      </c>
      <c r="B2" s="6" t="s">
        <v>32</v>
      </c>
      <c r="C2" s="5" t="s">
        <v>33</v>
      </c>
      <c r="D2" s="7">
        <v>46073</v>
      </c>
      <c r="E2" s="7">
        <v>46081</v>
      </c>
      <c r="F2" s="19">
        <f t="shared" ref="F2:F16" si="0">E2-D2+1</f>
        <v>9</v>
      </c>
      <c r="G2" s="6" t="s">
        <v>34</v>
      </c>
      <c r="H2" s="8">
        <v>1</v>
      </c>
      <c r="I2" s="4"/>
    </row>
    <row r="3" spans="1:9">
      <c r="A3" s="6">
        <v>2</v>
      </c>
      <c r="B3" s="6" t="s">
        <v>32</v>
      </c>
      <c r="C3" s="5" t="s">
        <v>35</v>
      </c>
      <c r="D3" s="7">
        <v>46073</v>
      </c>
      <c r="E3" s="7">
        <v>46081</v>
      </c>
      <c r="F3" s="19">
        <f t="shared" si="0"/>
        <v>9</v>
      </c>
      <c r="G3" s="6" t="s">
        <v>34</v>
      </c>
      <c r="H3" s="8">
        <v>1</v>
      </c>
      <c r="I3" s="4"/>
    </row>
    <row r="4" spans="1:9">
      <c r="A4" s="6">
        <v>3</v>
      </c>
      <c r="B4" s="6" t="s">
        <v>36</v>
      </c>
      <c r="C4" s="5" t="s">
        <v>37</v>
      </c>
      <c r="D4" s="7">
        <v>46082</v>
      </c>
      <c r="E4" s="7">
        <v>46088</v>
      </c>
      <c r="F4" s="19">
        <f t="shared" si="0"/>
        <v>7</v>
      </c>
      <c r="G4" s="6" t="s">
        <v>34</v>
      </c>
      <c r="H4" s="8">
        <v>1</v>
      </c>
      <c r="I4" s="4"/>
    </row>
    <row r="5" spans="1:9">
      <c r="A5" s="6">
        <v>4</v>
      </c>
      <c r="B5" s="6" t="s">
        <v>36</v>
      </c>
      <c r="C5" s="5" t="s">
        <v>38</v>
      </c>
      <c r="D5" s="7">
        <v>46088</v>
      </c>
      <c r="E5" s="7">
        <v>46100</v>
      </c>
      <c r="F5" s="19">
        <f t="shared" si="0"/>
        <v>13</v>
      </c>
      <c r="G5" s="6" t="s">
        <v>34</v>
      </c>
      <c r="H5" s="8">
        <v>1</v>
      </c>
      <c r="I5" s="4"/>
    </row>
    <row r="6" spans="1:9">
      <c r="A6" s="6">
        <v>5</v>
      </c>
      <c r="B6" s="6" t="s">
        <v>39</v>
      </c>
      <c r="C6" s="5" t="s">
        <v>40</v>
      </c>
      <c r="D6" s="7">
        <v>46093</v>
      </c>
      <c r="E6" s="7">
        <v>46102</v>
      </c>
      <c r="F6" s="19">
        <f t="shared" si="0"/>
        <v>10</v>
      </c>
      <c r="G6" s="6" t="s">
        <v>34</v>
      </c>
      <c r="H6" s="8">
        <v>1</v>
      </c>
      <c r="I6" s="4"/>
    </row>
    <row r="7" spans="1:9">
      <c r="A7" s="6">
        <v>6</v>
      </c>
      <c r="B7" s="6" t="s">
        <v>41</v>
      </c>
      <c r="C7" s="5" t="s">
        <v>42</v>
      </c>
      <c r="D7" s="7">
        <v>46103</v>
      </c>
      <c r="E7" s="7">
        <v>46107</v>
      </c>
      <c r="F7" s="19">
        <f t="shared" si="0"/>
        <v>5</v>
      </c>
      <c r="G7" s="6" t="s">
        <v>34</v>
      </c>
      <c r="H7" s="8">
        <v>1</v>
      </c>
      <c r="I7" s="4"/>
    </row>
    <row r="8" spans="1:9">
      <c r="A8" s="6">
        <v>7</v>
      </c>
      <c r="B8" s="6" t="s">
        <v>43</v>
      </c>
      <c r="C8" s="5" t="s">
        <v>52</v>
      </c>
      <c r="D8" s="7">
        <v>46107</v>
      </c>
      <c r="E8" s="7">
        <v>46107</v>
      </c>
      <c r="F8" s="19">
        <f t="shared" si="0"/>
        <v>1</v>
      </c>
      <c r="G8" s="6" t="s">
        <v>34</v>
      </c>
      <c r="H8" s="8">
        <v>1</v>
      </c>
      <c r="I8" s="4"/>
    </row>
    <row r="9" spans="1:9">
      <c r="A9" s="6">
        <v>8</v>
      </c>
      <c r="B9" s="6" t="s">
        <v>39</v>
      </c>
      <c r="C9" s="5" t="s">
        <v>44</v>
      </c>
      <c r="D9" s="7">
        <v>46108</v>
      </c>
      <c r="E9" s="7">
        <v>46116</v>
      </c>
      <c r="F9" s="19">
        <f t="shared" si="0"/>
        <v>9</v>
      </c>
      <c r="G9" s="6" t="s">
        <v>34</v>
      </c>
      <c r="H9" s="8">
        <v>1</v>
      </c>
      <c r="I9" s="4"/>
    </row>
    <row r="10" spans="1:9">
      <c r="A10" s="6">
        <v>9</v>
      </c>
      <c r="B10" s="6" t="s">
        <v>45</v>
      </c>
      <c r="C10" s="5" t="s">
        <v>53</v>
      </c>
      <c r="D10" s="7">
        <v>46111</v>
      </c>
      <c r="E10" s="7">
        <v>46115</v>
      </c>
      <c r="F10" s="19">
        <f t="shared" si="0"/>
        <v>5</v>
      </c>
      <c r="G10" s="6" t="s">
        <v>34</v>
      </c>
      <c r="H10" s="8">
        <v>1</v>
      </c>
      <c r="I10" s="4"/>
    </row>
    <row r="11" spans="1:9">
      <c r="A11" s="6">
        <v>10</v>
      </c>
      <c r="B11" s="6" t="s">
        <v>43</v>
      </c>
      <c r="C11" s="5" t="s">
        <v>54</v>
      </c>
      <c r="D11" s="7">
        <v>46116</v>
      </c>
      <c r="E11" s="7">
        <v>46116</v>
      </c>
      <c r="F11" s="19">
        <f t="shared" si="0"/>
        <v>1</v>
      </c>
      <c r="G11" s="6" t="s">
        <v>34</v>
      </c>
      <c r="H11" s="8">
        <v>1</v>
      </c>
      <c r="I11" s="4"/>
    </row>
    <row r="12" spans="1:9">
      <c r="A12" s="6">
        <v>11</v>
      </c>
      <c r="B12" s="6" t="s">
        <v>46</v>
      </c>
      <c r="C12" s="5" t="s">
        <v>55</v>
      </c>
      <c r="D12" s="7">
        <v>46130</v>
      </c>
      <c r="E12" s="7">
        <v>46135</v>
      </c>
      <c r="F12" s="19">
        <f t="shared" si="0"/>
        <v>6</v>
      </c>
      <c r="G12" s="6" t="s">
        <v>34</v>
      </c>
      <c r="H12" s="8">
        <v>1</v>
      </c>
      <c r="I12" s="4"/>
    </row>
    <row r="13" spans="1:9">
      <c r="A13" s="6">
        <v>12</v>
      </c>
      <c r="B13" s="6" t="s">
        <v>45</v>
      </c>
      <c r="C13" s="5" t="s">
        <v>56</v>
      </c>
      <c r="D13" s="7">
        <v>46130</v>
      </c>
      <c r="E13" s="7">
        <v>46140</v>
      </c>
      <c r="F13" s="19">
        <f t="shared" si="0"/>
        <v>11</v>
      </c>
      <c r="G13" s="6" t="s">
        <v>34</v>
      </c>
      <c r="H13" s="8">
        <v>1</v>
      </c>
      <c r="I13" s="4"/>
    </row>
    <row r="14" spans="1:9">
      <c r="A14" s="6">
        <v>13</v>
      </c>
      <c r="B14" s="6" t="s">
        <v>41</v>
      </c>
      <c r="C14" s="5" t="s">
        <v>57</v>
      </c>
      <c r="D14" s="7">
        <v>46136</v>
      </c>
      <c r="E14" s="7">
        <v>46140</v>
      </c>
      <c r="F14" s="19">
        <f t="shared" si="0"/>
        <v>5</v>
      </c>
      <c r="G14" s="6" t="s">
        <v>34</v>
      </c>
      <c r="H14" s="8">
        <v>1</v>
      </c>
      <c r="I14" s="4"/>
    </row>
    <row r="15" spans="1:9">
      <c r="A15" s="6">
        <v>14</v>
      </c>
      <c r="B15" s="6" t="s">
        <v>39</v>
      </c>
      <c r="C15" s="5" t="s">
        <v>58</v>
      </c>
      <c r="D15" s="7">
        <v>46140</v>
      </c>
      <c r="E15" s="7">
        <v>46145</v>
      </c>
      <c r="F15" s="19">
        <f t="shared" si="0"/>
        <v>6</v>
      </c>
      <c r="G15" s="6" t="s">
        <v>34</v>
      </c>
      <c r="H15" s="8">
        <v>1</v>
      </c>
      <c r="I15" s="4"/>
    </row>
    <row r="16" spans="1:9">
      <c r="A16" s="6">
        <v>15</v>
      </c>
      <c r="B16" s="6" t="s">
        <v>43</v>
      </c>
      <c r="C16" s="5" t="s">
        <v>59</v>
      </c>
      <c r="D16" s="7">
        <v>46146</v>
      </c>
      <c r="E16" s="7">
        <v>46146</v>
      </c>
      <c r="F16" s="19">
        <f t="shared" si="0"/>
        <v>1</v>
      </c>
      <c r="G16" s="6" t="s">
        <v>34</v>
      </c>
      <c r="H16" s="8">
        <v>1</v>
      </c>
      <c r="I16" s="4"/>
    </row>
  </sheetData>
  <dataValidations count="3">
    <dataValidation type="list" sqref="G2:G16" xr:uid="{00000000-0002-0000-0100-000000000000}">
      <formula1>"Completata,In corso,Pianificata"</formula1>
    </dataValidation>
    <dataValidation type="list" sqref="B2:B16" xr:uid="{60B3B412-E3B9-4E0B-A22F-C5B9025E8D7C}">
      <formula1>"Analisi,Backend,Documentazione,Testing,Frontend,Milestone,Revisione,Consegna"</formula1>
    </dataValidation>
    <dataValidation type="decimal" sqref="H2:H16" xr:uid="{00000000-0002-0000-0100-000002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Gantt</vt:lpstr>
      <vt:lpstr>Dati attività</vt:lpstr>
      <vt:lpstr>Gantt!Print_Area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Santangelo</cp:lastModifiedBy>
  <cp:lastPrinted>2026-05-01T14:16:42Z</cp:lastPrinted>
  <dcterms:modified xsi:type="dcterms:W3CDTF">2026-05-01T20:58:35Z</dcterms:modified>
</cp:coreProperties>
</file>